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商品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1" fillId="0" borderId="1" pivotButton="0" quotePrefix="0" xfId="0"/>
    <xf numFmtId="0" fontId="1" fillId="0" borderId="1" pivotButton="0" quotePrefix="0" xfId="0"/>
    <xf numFmtId="3" fontId="1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日付</t>
        </is>
      </c>
      <c r="B1" s="1" t="inlineStr">
        <is>
          <t>商品</t>
        </is>
      </c>
      <c r="C1" s="1" t="inlineStr">
        <is>
          <t>単価</t>
        </is>
      </c>
      <c r="D1" s="1" t="inlineStr">
        <is>
          <t>数量</t>
        </is>
      </c>
      <c r="E1" s="1" t="inlineStr">
        <is>
          <t>金額</t>
        </is>
      </c>
    </row>
    <row r="2">
      <c r="A2" s="2" t="n">
        <v>46296</v>
      </c>
      <c r="B2" s="3" t="inlineStr">
        <is>
          <t>りんご</t>
        </is>
      </c>
      <c r="C2" s="4">
        <f>INDEX(商品マスタ!$B$2:$B$5,MATCH(B2,商品マスタ!$A$2:$A$5,0))</f>
        <v/>
      </c>
      <c r="D2" s="3" t="n">
        <v>10</v>
      </c>
      <c r="E2" s="4">
        <f>C2*D2</f>
        <v/>
      </c>
    </row>
    <row r="3">
      <c r="A3" s="2" t="n">
        <v>46297</v>
      </c>
      <c r="B3" s="3" t="inlineStr">
        <is>
          <t>みかん</t>
        </is>
      </c>
      <c r="C3" s="4">
        <f>INDEX(商品マスタ!$B$2:$B$5,MATCH(B3,商品マスタ!$A$2:$A$5,0))</f>
        <v/>
      </c>
      <c r="D3" s="3" t="n">
        <v>25</v>
      </c>
      <c r="E3" s="4">
        <f>C3*D3</f>
        <v/>
      </c>
    </row>
    <row r="4">
      <c r="A4" s="2" t="n">
        <v>46298</v>
      </c>
      <c r="B4" s="3" t="inlineStr">
        <is>
          <t>ぶどう</t>
        </is>
      </c>
      <c r="C4" s="4">
        <f>INDEX(商品マスタ!$B$2:$B$5,MATCH(B4,商品マスタ!$A$2:$A$5,0))</f>
        <v/>
      </c>
      <c r="D4" s="3" t="n">
        <v>3</v>
      </c>
      <c r="E4" s="4">
        <f>C4*D4</f>
        <v/>
      </c>
    </row>
    <row r="5">
      <c r="A5" s="2" t="n">
        <v>46299</v>
      </c>
      <c r="B5" s="3" t="inlineStr">
        <is>
          <t>りんご</t>
        </is>
      </c>
      <c r="C5" s="4">
        <f>INDEX(商品マスタ!$B$2:$B$5,MATCH(B5,商品マスタ!$A$2:$A$5,0))</f>
        <v/>
      </c>
      <c r="D5" s="3" t="n">
        <v>7</v>
      </c>
      <c r="E5" s="4">
        <f>C5*D5</f>
        <v/>
      </c>
    </row>
    <row r="6">
      <c r="A6" s="2" t="n">
        <v>46300</v>
      </c>
      <c r="B6" s="3" t="inlineStr">
        <is>
          <t>もも</t>
        </is>
      </c>
      <c r="C6" s="4">
        <f>INDEX(商品マスタ!$B$2:$B$5,MATCH(B6,商品マスタ!$A$2:$A$5,0))</f>
        <v/>
      </c>
      <c r="D6" s="3" t="n">
        <v>5</v>
      </c>
      <c r="E6" s="4">
        <f>C6*D6</f>
        <v/>
      </c>
    </row>
    <row r="7">
      <c r="A7" s="2" t="n">
        <v>46301</v>
      </c>
      <c r="B7" s="3" t="inlineStr">
        <is>
          <t>みかん</t>
        </is>
      </c>
      <c r="C7" s="4">
        <f>INDEX(商品マスタ!$B$2:$B$5,MATCH(B7,商品マスタ!$A$2:$A$5,0))</f>
        <v/>
      </c>
      <c r="D7" s="3" t="n">
        <v>12</v>
      </c>
      <c r="E7" s="4">
        <f>C7*D7</f>
        <v/>
      </c>
    </row>
    <row r="8">
      <c r="A8" s="2" t="n">
        <v>46302</v>
      </c>
      <c r="B8" s="3" t="inlineStr">
        <is>
          <t>ぶどう</t>
        </is>
      </c>
      <c r="C8" s="4">
        <f>INDEX(商品マスタ!$B$2:$B$5,MATCH(B8,商品マスタ!$A$2:$A$5,0))</f>
        <v/>
      </c>
      <c r="D8" s="3" t="n">
        <v>6</v>
      </c>
      <c r="E8" s="4">
        <f>C8*D8</f>
        <v/>
      </c>
    </row>
    <row r="9">
      <c r="A9" s="2" t="n">
        <v>46303</v>
      </c>
      <c r="B9" s="3" t="inlineStr">
        <is>
          <t>もも</t>
        </is>
      </c>
      <c r="C9" s="4">
        <f>INDEX(商品マスタ!$B$2:$B$5,MATCH(B9,商品マスタ!$A$2:$A$5,0))</f>
        <v/>
      </c>
      <c r="D9" s="3" t="n">
        <v>2</v>
      </c>
      <c r="E9" s="4">
        <f>C9*D9</f>
        <v/>
      </c>
    </row>
    <row r="10">
      <c r="A10" s="3" t="n"/>
      <c r="B10" s="3" t="n"/>
      <c r="C10" s="4" t="n"/>
      <c r="D10" s="5" t="inlineStr">
        <is>
          <t>合計</t>
        </is>
      </c>
      <c r="E10" s="6">
        <f>SUM(E2:E9)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単価</t>
        </is>
      </c>
    </row>
    <row r="2">
      <c r="A2" s="3" t="inlineStr">
        <is>
          <t>りんご</t>
        </is>
      </c>
      <c r="B2" s="3" t="n">
        <v>120</v>
      </c>
    </row>
    <row r="3">
      <c r="A3" s="3" t="inlineStr">
        <is>
          <t>みかん</t>
        </is>
      </c>
      <c r="B3" s="3" t="n">
        <v>80</v>
      </c>
    </row>
    <row r="4">
      <c r="A4" s="3" t="inlineStr">
        <is>
          <t>ぶどう</t>
        </is>
      </c>
      <c r="B4" s="3" t="n">
        <v>450</v>
      </c>
    </row>
    <row r="5">
      <c r="A5" s="3" t="inlineStr">
        <is>
          <t>もも</t>
        </is>
      </c>
      <c r="B5" s="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2026-10-15T09:22:55Z</dcterms:created>
  <dcterms:modified xmlns:dcterms="http://purl.org/dc/terms/" xmlns:xsi="http://www.w3.org/2001/XMLSchema-instance" xsi:type="dcterms:W3CDTF">2026-10-15T09:22:55Z</dcterms:modified>
</cp:coreProperties>
</file>